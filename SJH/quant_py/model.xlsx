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songjonghyun/quant_py-main/"/>
    </mc:Choice>
  </mc:AlternateContent>
  <xr:revisionPtr revIDLastSave="0" documentId="13_ncr:1_{115BAB6B-8A01-DE43-A60D-39BEAC097494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  <sheet name="직전4분기" sheetId="2" r:id="rId2"/>
    <sheet name="최근년도 공시" sheetId="3" r:id="rId3"/>
    <sheet name="k-ratio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" i="2"/>
</calcChain>
</file>

<file path=xl/sharedStrings.xml><?xml version="1.0" encoding="utf-8"?>
<sst xmlns="http://schemas.openxmlformats.org/spreadsheetml/2006/main" count="160" uniqueCount="99">
  <si>
    <t>종목코드</t>
  </si>
  <si>
    <t>032640</t>
  </si>
  <si>
    <t>000880</t>
  </si>
  <si>
    <t>403870</t>
  </si>
  <si>
    <t>383220</t>
  </si>
  <si>
    <t>035900</t>
  </si>
  <si>
    <t>010060</t>
  </si>
  <si>
    <t>000990</t>
  </si>
  <si>
    <t>185750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</si>
  <si>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</si>
  <si>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</si>
  <si>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</si>
  <si>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</si>
  <si>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</si>
  <si>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</si>
  <si>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</si>
  <si>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</si>
  <si>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</si>
  <si>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</si>
  <si>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</si>
  <si>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</si>
  <si>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</si>
  <si>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</si>
  <si>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</si>
  <si>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006120</t>
  </si>
  <si>
    <t>039130</t>
  </si>
  <si>
    <t>067160</t>
  </si>
  <si>
    <t>215200</t>
  </si>
  <si>
    <t>287410</t>
  </si>
  <si>
    <t>336570</t>
  </si>
  <si>
    <t>383310</t>
  </si>
  <si>
    <t>003030</t>
  </si>
  <si>
    <t>005440</t>
  </si>
  <si>
    <t>007700</t>
  </si>
  <si>
    <t>009970</t>
  </si>
  <si>
    <t>195870</t>
  </si>
  <si>
    <t>011200</t>
  </si>
  <si>
    <t>348210</t>
  </si>
  <si>
    <t>137310</t>
  </si>
  <si>
    <t>078930</t>
  </si>
  <si>
    <t>096530</t>
  </si>
  <si>
    <t>353200</t>
  </si>
  <si>
    <t>HMM</t>
  </si>
  <si>
    <t>제이시스메디칼</t>
  </si>
  <si>
    <t>넥스틴</t>
  </si>
  <si>
    <t>F&amp;F</t>
  </si>
  <si>
    <t>DB하이텍</t>
  </si>
  <si>
    <t>에스디바이오센서</t>
  </si>
  <si>
    <t>영원무역홀딩스</t>
  </si>
  <si>
    <t>OCI홀딩스</t>
  </si>
  <si>
    <t>LG유플러스</t>
  </si>
  <si>
    <t>GS</t>
  </si>
  <si>
    <t>씨젠</t>
  </si>
  <si>
    <t>해성디에스</t>
  </si>
  <si>
    <t>대덕전자</t>
  </si>
  <si>
    <t>한화</t>
  </si>
  <si>
    <t>SK디스커버리</t>
  </si>
  <si>
    <t>JYP Ent.</t>
  </si>
  <si>
    <t>하나투어</t>
  </si>
  <si>
    <t>아프리카TV</t>
  </si>
  <si>
    <t>메가스터디교육</t>
  </si>
  <si>
    <t>원텍</t>
  </si>
  <si>
    <t>에코프로에이치엔</t>
  </si>
  <si>
    <t>HPSP</t>
  </si>
  <si>
    <t>세아제강지주</t>
  </si>
  <si>
    <t>현대지에프홀딩스</t>
  </si>
  <si>
    <t>F&amp;F홀딩스</t>
  </si>
  <si>
    <t>종근당</t>
  </si>
  <si>
    <t>SK하이닉스</t>
  </si>
  <si>
    <t>한올바이오파마</t>
  </si>
  <si>
    <t>브이티</t>
  </si>
  <si>
    <t>포스코DX</t>
  </si>
  <si>
    <t>피에스케이홀딩스</t>
  </si>
  <si>
    <t>주성엔지니어링</t>
  </si>
  <si>
    <t>이오테크닉스</t>
  </si>
  <si>
    <t>한미반도체</t>
  </si>
  <si>
    <t>하나마이크론</t>
  </si>
  <si>
    <t>미래에셋생명</t>
  </si>
  <si>
    <t>칩스앤미디어</t>
  </si>
  <si>
    <t>제이앤티씨</t>
  </si>
  <si>
    <t>HD현대일렉트릭</t>
  </si>
  <si>
    <t>씨앤씨인터내셔널</t>
  </si>
  <si>
    <t>DL</t>
  </si>
  <si>
    <t>대웅</t>
  </si>
  <si>
    <t>코웨이</t>
  </si>
  <si>
    <t>휴젤</t>
  </si>
  <si>
    <t>서진시스템</t>
  </si>
  <si>
    <t>HDC현대산업개발</t>
  </si>
  <si>
    <t>DL이앤씨</t>
  </si>
  <si>
    <t>한화투자증권</t>
  </si>
  <si>
    <t>HLB</t>
  </si>
  <si>
    <t>제주반도체</t>
  </si>
  <si>
    <t>엔켐</t>
  </si>
  <si>
    <t>k_ratio_12</t>
  </si>
  <si>
    <t>k_ratio_6</t>
  </si>
  <si>
    <t>k_ratio_3</t>
  </si>
  <si>
    <t>종목코드</t>
    <phoneticPr fontId="2" type="noConversion"/>
  </si>
  <si>
    <t>종목명</t>
    <phoneticPr fontId="2" type="noConversion"/>
  </si>
  <si>
    <t>구분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</si>
</sst>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G10" sqref="G10"/>
    </sheetView>
  </sheetViews>
  <sheetFormatPr baseColWidth="10" defaultColWidth="8.83203125" defaultRowHeight="17"/>
  <cols>
    <col min="1" max="1" width="8.83203125" style="2"/>
    <col min="2" max="2" width="15" bestFit="1" customWidth="1"/>
  </cols>
  <sheetData>
    <row r="1" spans="1:3">
      <c r="A1" s="1" t="s">
        <v>0</v>
      </c>
    </row>
    <row r="2" spans="1:3">
      <c r="A2" s="2" t="s">
        <v>2</v>
      </c>
      <c r="B2" t="str">
        <f>VLOOKUP(A2,직전4분기!$A:$C,3,FALSE)</f>
        <v>한화</v>
      </c>
      <c r="C2" s="2"/>
    </row>
    <row r="3" spans="1:3">
      <c r="A3" s="2" t="s">
        <v>28</v>
      </c>
      <c r="B3" t="str">
        <f>VLOOKUP(A3,직전4분기!$A:$C,3,FALSE)</f>
        <v>제이시스메디칼</v>
      </c>
      <c r="C3" s="2"/>
    </row>
    <row r="4" spans="1:3">
      <c r="A4" s="2" t="s">
        <v>4</v>
      </c>
      <c r="B4" t="str">
        <f>VLOOKUP(A4,직전4분기!$A:$C,3,FALSE)</f>
        <v>F&amp;F</v>
      </c>
      <c r="C4" s="2"/>
    </row>
    <row r="5" spans="1:3">
      <c r="A5" s="2" t="s">
        <v>34</v>
      </c>
      <c r="B5" t="str">
        <f>VLOOKUP(A5,직전4분기!$A:$C,3,FALSE)</f>
        <v>영원무역홀딩스</v>
      </c>
      <c r="C5" s="2"/>
    </row>
    <row r="6" spans="1:3">
      <c r="A6" s="2" t="s">
        <v>6</v>
      </c>
      <c r="B6" t="str">
        <f>VLOOKUP(A6,직전4분기!$A:$C,3,FALSE)</f>
        <v>OCI홀딩스</v>
      </c>
      <c r="C6" s="2"/>
    </row>
    <row r="7" spans="1:3">
      <c r="A7" s="2" t="s">
        <v>1</v>
      </c>
      <c r="B7" t="str">
        <f>VLOOKUP(A7,직전4분기!$A:$C,3,FALSE)</f>
        <v>LG유플러스</v>
      </c>
      <c r="C7" s="2"/>
    </row>
    <row r="8" spans="1:3">
      <c r="A8" s="2" t="s">
        <v>35</v>
      </c>
      <c r="B8" t="str">
        <f>VLOOKUP(A8,직전4분기!$A:$C,3,FALSE)</f>
        <v>해성디에스</v>
      </c>
      <c r="C8" s="2"/>
    </row>
    <row r="10" spans="1:3">
      <c r="A10"/>
    </row>
    <row r="11" spans="1:3">
      <c r="A11"/>
    </row>
    <row r="12" spans="1:3">
      <c r="A12"/>
    </row>
    <row r="13" spans="1:3">
      <c r="A13"/>
    </row>
    <row r="14" spans="1:3">
      <c r="A14"/>
    </row>
    <row r="15" spans="1:3">
      <c r="A15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B3B6-995A-3D41-A985-3689C50B39DC}">
  <dimension ref="A1:C22"/>
  <sheetViews>
    <sheetView workbookViewId="0">
      <selection sqref="A1:C1048576"/>
    </sheetView>
  </sheetViews>
  <sheetFormatPr baseColWidth="10" defaultRowHeight="17"/>
  <cols>
    <col min="1" max="1" width="10.83203125" style="2"/>
    <col min="3" max="3" width="17.1640625" style="2" bestFit="1" customWidth="1"/>
  </cols>
  <sheetData>
    <row r="1" spans="1:3">
      <c r="A1" s="1" t="s">
        <v>0</v>
      </c>
    </row>
    <row r="2" spans="1:3">
      <c r="A2" s="2" t="s">
        <v>2</v>
      </c>
      <c r="B2" t="str">
        <f>VLOOKUP(A2,'최근년도 공시'!$A$2:$B$16,2,FALSE)</f>
        <v>1</v>
      </c>
      <c r="C2" s="2" t="s">
        <v>55</v>
      </c>
    </row>
    <row r="3" spans="1:3">
      <c r="A3" s="2" t="s">
        <v>24</v>
      </c>
      <c r="B3" t="e">
        <f>VLOOKUP(A3,'최근년도 공시'!$A$2:$B$16,2,FALSE)</f>
        <v>#N/A</v>
      </c>
      <c r="C3" s="2" t="s">
        <v>56</v>
      </c>
    </row>
    <row r="4" spans="1:3">
      <c r="A4" s="2" t="s">
        <v>5</v>
      </c>
      <c r="B4" t="e">
        <f>VLOOKUP(A4,'최근년도 공시'!$A$2:$B$16,2,FALSE)</f>
        <v>#N/A</v>
      </c>
      <c r="C4" s="2" t="s">
        <v>57</v>
      </c>
    </row>
    <row r="5" spans="1:3">
      <c r="A5" s="2" t="s">
        <v>25</v>
      </c>
      <c r="B5" t="e">
        <f>VLOOKUP(A5,'최근년도 공시'!$A$2:$B$16,2,FALSE)</f>
        <v>#N/A</v>
      </c>
      <c r="C5" s="2" t="s">
        <v>58</v>
      </c>
    </row>
    <row r="6" spans="1:3">
      <c r="A6" s="2" t="s">
        <v>26</v>
      </c>
      <c r="B6" t="e">
        <f>VLOOKUP(A6,'최근년도 공시'!$A$2:$B$16,2,FALSE)</f>
        <v>#N/A</v>
      </c>
      <c r="C6" s="2" t="s">
        <v>59</v>
      </c>
    </row>
    <row r="7" spans="1:3">
      <c r="A7" s="2" t="s">
        <v>27</v>
      </c>
      <c r="B7" t="e">
        <f>VLOOKUP(A7,'최근년도 공시'!$A$2:$B$16,2,FALSE)</f>
        <v>#N/A</v>
      </c>
      <c r="C7" s="2" t="s">
        <v>60</v>
      </c>
    </row>
    <row r="8" spans="1:3">
      <c r="A8" s="2" t="s">
        <v>28</v>
      </c>
      <c r="B8" t="str">
        <f>VLOOKUP(A8,'최근년도 공시'!$A$2:$B$16,2,FALSE)</f>
        <v>3</v>
      </c>
      <c r="C8" s="2" t="s">
        <v>43</v>
      </c>
    </row>
    <row r="9" spans="1:3">
      <c r="A9" s="2" t="s">
        <v>29</v>
      </c>
      <c r="B9" t="e">
        <f>VLOOKUP(A9,'최근년도 공시'!$A$2:$B$16,2,FALSE)</f>
        <v>#N/A</v>
      </c>
      <c r="C9" s="2" t="s">
        <v>61</v>
      </c>
    </row>
    <row r="10" spans="1:3">
      <c r="A10" s="2" t="s">
        <v>4</v>
      </c>
      <c r="B10" t="str">
        <f>VLOOKUP(A10,'최근년도 공시'!$A$2:$B$16,2,FALSE)</f>
        <v>5</v>
      </c>
      <c r="C10" s="2" t="s">
        <v>45</v>
      </c>
    </row>
    <row r="11" spans="1:3">
      <c r="A11" s="2" t="s">
        <v>30</v>
      </c>
      <c r="B11" t="e">
        <f>VLOOKUP(A11,'최근년도 공시'!$A$2:$B$16,2,FALSE)</f>
        <v>#N/A</v>
      </c>
      <c r="C11" s="2" t="s">
        <v>62</v>
      </c>
    </row>
    <row r="12" spans="1:3">
      <c r="A12" s="2" t="s">
        <v>3</v>
      </c>
      <c r="B12" t="e">
        <f>VLOOKUP(A12,'최근년도 공시'!$A$2:$B$16,2,FALSE)</f>
        <v>#N/A</v>
      </c>
      <c r="C12" s="2" t="s">
        <v>63</v>
      </c>
    </row>
    <row r="13" spans="1:3">
      <c r="A13" s="2" t="s">
        <v>31</v>
      </c>
      <c r="B13" t="e">
        <f>VLOOKUP(A13,'최근년도 공시'!$A$2:$B$16,2,FALSE)</f>
        <v>#N/A</v>
      </c>
      <c r="C13" s="2" t="s">
        <v>64</v>
      </c>
    </row>
    <row r="14" spans="1:3">
      <c r="A14" s="2" t="s">
        <v>32</v>
      </c>
      <c r="B14" t="e">
        <f>VLOOKUP(A14,'최근년도 공시'!$A$2:$B$16,2,FALSE)</f>
        <v>#N/A</v>
      </c>
      <c r="C14" s="2" t="s">
        <v>65</v>
      </c>
    </row>
    <row r="15" spans="1:3">
      <c r="A15" s="2" t="s">
        <v>33</v>
      </c>
      <c r="B15" t="e">
        <f>VLOOKUP(A15,'최근년도 공시'!$A$2:$B$16,2,FALSE)</f>
        <v>#N/A</v>
      </c>
      <c r="C15" s="2" t="s">
        <v>66</v>
      </c>
    </row>
    <row r="16" spans="1:3">
      <c r="A16" s="2" t="s">
        <v>34</v>
      </c>
      <c r="B16" t="str">
        <f>VLOOKUP(A16,'최근년도 공시'!$A$2:$B$16,2,FALSE)</f>
        <v>9</v>
      </c>
      <c r="C16" s="2" t="s">
        <v>48</v>
      </c>
    </row>
    <row r="17" spans="1:3">
      <c r="A17" s="2" t="s">
        <v>6</v>
      </c>
      <c r="B17" t="str">
        <f>VLOOKUP(A17,'최근년도 공시'!$A$2:$B$16,2,FALSE)</f>
        <v>10</v>
      </c>
      <c r="C17" s="2" t="s">
        <v>49</v>
      </c>
    </row>
    <row r="18" spans="1:3">
      <c r="A18" s="2" t="s">
        <v>4</v>
      </c>
      <c r="B18" t="str">
        <f>VLOOKUP(A18,'최근년도 공시'!$A$2:$B$16,2,FALSE)</f>
        <v>5</v>
      </c>
      <c r="C18" s="2" t="s">
        <v>45</v>
      </c>
    </row>
    <row r="19" spans="1:3">
      <c r="A19" s="2" t="s">
        <v>34</v>
      </c>
      <c r="B19" t="str">
        <f>VLOOKUP(A19,'최근년도 공시'!$A$2:$B$16,2,FALSE)</f>
        <v>9</v>
      </c>
      <c r="C19" s="2" t="s">
        <v>48</v>
      </c>
    </row>
    <row r="20" spans="1:3">
      <c r="A20" s="2" t="s">
        <v>1</v>
      </c>
      <c r="B20" t="str">
        <f>VLOOKUP(A20,'최근년도 공시'!$A$2:$B$16,2,FALSE)</f>
        <v>11</v>
      </c>
      <c r="C20" s="2" t="s">
        <v>50</v>
      </c>
    </row>
    <row r="21" spans="1:3">
      <c r="A21" s="2" t="s">
        <v>8</v>
      </c>
      <c r="B21" t="e">
        <f>VLOOKUP(A21,'최근년도 공시'!$A$2:$B$16,2,FALSE)</f>
        <v>#N/A</v>
      </c>
      <c r="C21" s="2" t="s">
        <v>67</v>
      </c>
    </row>
    <row r="22" spans="1:3">
      <c r="A22" s="2" t="s">
        <v>35</v>
      </c>
      <c r="B22" t="str">
        <f>VLOOKUP(A22,'최근년도 공시'!$A$2:$B$16,2,FALSE)</f>
        <v>14</v>
      </c>
      <c r="C22" s="2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C874-DCB0-CA42-861A-E4780C8E15E7}">
  <dimension ref="A1:C16"/>
  <sheetViews>
    <sheetView workbookViewId="0">
      <selection activeCell="C2" sqref="C2"/>
    </sheetView>
  </sheetViews>
  <sheetFormatPr baseColWidth="10" defaultRowHeight="17"/>
  <cols>
    <col min="1" max="3" width="10.83203125" style="2"/>
  </cols>
  <sheetData>
    <row r="1" spans="1:3">
      <c r="A1" s="1" t="s">
        <v>0</v>
      </c>
    </row>
    <row r="2" spans="1:3">
      <c r="A2" s="2" t="s">
        <v>2</v>
      </c>
      <c r="B2" s="2" t="s">
        <v>9</v>
      </c>
      <c r="C2" s="2" t="s">
        <v>55</v>
      </c>
    </row>
    <row r="3" spans="1:3">
      <c r="A3" s="2" t="s">
        <v>36</v>
      </c>
      <c r="B3" s="2" t="s">
        <v>10</v>
      </c>
      <c r="C3" s="2" t="s">
        <v>42</v>
      </c>
    </row>
    <row r="4" spans="1:3">
      <c r="A4" s="2" t="s">
        <v>28</v>
      </c>
      <c r="B4" s="2" t="s">
        <v>11</v>
      </c>
      <c r="C4" s="2" t="s">
        <v>43</v>
      </c>
    </row>
    <row r="5" spans="1:3">
      <c r="A5" s="2" t="s">
        <v>37</v>
      </c>
      <c r="B5" s="2" t="s">
        <v>12</v>
      </c>
      <c r="C5" s="2" t="s">
        <v>44</v>
      </c>
    </row>
    <row r="6" spans="1:3">
      <c r="A6" s="2" t="s">
        <v>4</v>
      </c>
      <c r="B6" s="2" t="s">
        <v>13</v>
      </c>
      <c r="C6" s="2" t="s">
        <v>45</v>
      </c>
    </row>
    <row r="7" spans="1:3">
      <c r="A7" s="2" t="s">
        <v>7</v>
      </c>
      <c r="B7" s="2" t="s">
        <v>14</v>
      </c>
      <c r="C7" s="2" t="s">
        <v>46</v>
      </c>
    </row>
    <row r="8" spans="1:3">
      <c r="A8" s="2" t="s">
        <v>36</v>
      </c>
      <c r="B8" s="2" t="s">
        <v>15</v>
      </c>
      <c r="C8" s="2" t="s">
        <v>42</v>
      </c>
    </row>
    <row r="9" spans="1:3">
      <c r="A9" s="2" t="s">
        <v>38</v>
      </c>
      <c r="B9" s="2" t="s">
        <v>16</v>
      </c>
      <c r="C9" s="2" t="s">
        <v>47</v>
      </c>
    </row>
    <row r="10" spans="1:3">
      <c r="A10" s="2" t="s">
        <v>34</v>
      </c>
      <c r="B10" s="2" t="s">
        <v>17</v>
      </c>
      <c r="C10" s="2" t="s">
        <v>48</v>
      </c>
    </row>
    <row r="11" spans="1:3">
      <c r="A11" s="2" t="s">
        <v>6</v>
      </c>
      <c r="B11" s="2" t="s">
        <v>18</v>
      </c>
      <c r="C11" s="2" t="s">
        <v>49</v>
      </c>
    </row>
    <row r="12" spans="1:3">
      <c r="A12" s="2" t="s">
        <v>1</v>
      </c>
      <c r="B12" s="2" t="s">
        <v>19</v>
      </c>
      <c r="C12" s="2" t="s">
        <v>50</v>
      </c>
    </row>
    <row r="13" spans="1:3">
      <c r="A13" s="2" t="s">
        <v>39</v>
      </c>
      <c r="B13" s="2" t="s">
        <v>20</v>
      </c>
      <c r="C13" s="2" t="s">
        <v>51</v>
      </c>
    </row>
    <row r="14" spans="1:3">
      <c r="A14" s="2" t="s">
        <v>40</v>
      </c>
      <c r="B14" s="2" t="s">
        <v>21</v>
      </c>
      <c r="C14" s="2" t="s">
        <v>52</v>
      </c>
    </row>
    <row r="15" spans="1:3">
      <c r="A15" s="2" t="s">
        <v>35</v>
      </c>
      <c r="B15" s="2" t="s">
        <v>22</v>
      </c>
      <c r="C15" s="2" t="s">
        <v>53</v>
      </c>
    </row>
    <row r="16" spans="1:3">
      <c r="A16" s="2" t="s">
        <v>41</v>
      </c>
      <c r="B16" s="2" t="s">
        <v>23</v>
      </c>
      <c r="C16" s="2" t="s">
        <v>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C834-D33C-3E40-96A0-6DAD2681E2B5}">
  <dimension ref="A1:C30"/>
  <sheetViews>
    <sheetView workbookViewId="0">
      <selection sqref="A1:A1048576"/>
    </sheetView>
  </sheetViews>
  <sheetFormatPr baseColWidth="10" defaultRowHeight="17"/>
  <cols>
    <col min="1" max="1" width="9.33203125" bestFit="1" customWidth="1"/>
    <col min="2" max="2" width="17.33203125" bestFit="1" customWidth="1"/>
    <col min="3" max="3" width="10.6640625" bestFit="1" customWidth="1"/>
  </cols>
  <sheetData>
    <row r="1" spans="1:3">
      <c r="A1" t="s">
        <v>96</v>
      </c>
      <c r="B1" t="s">
        <v>97</v>
      </c>
      <c r="C1" t="s">
        <v>98</v>
      </c>
    </row>
    <row r="2" spans="1:3">
      <c r="A2">
        <v>660</v>
      </c>
      <c r="B2" t="s">
        <v>68</v>
      </c>
      <c r="C2" t="s">
        <v>93</v>
      </c>
    </row>
    <row r="3" spans="1:3">
      <c r="A3">
        <v>9420</v>
      </c>
      <c r="B3" t="s">
        <v>69</v>
      </c>
      <c r="C3" t="s">
        <v>93</v>
      </c>
    </row>
    <row r="4" spans="1:3">
      <c r="A4">
        <v>18290</v>
      </c>
      <c r="B4" t="s">
        <v>70</v>
      </c>
      <c r="C4" t="s">
        <v>93</v>
      </c>
    </row>
    <row r="5" spans="1:3">
      <c r="A5">
        <v>22100</v>
      </c>
      <c r="B5" t="s">
        <v>71</v>
      </c>
      <c r="C5" t="s">
        <v>93</v>
      </c>
    </row>
    <row r="6" spans="1:3">
      <c r="A6">
        <v>31980</v>
      </c>
      <c r="B6" t="s">
        <v>72</v>
      </c>
      <c r="C6" t="s">
        <v>93</v>
      </c>
    </row>
    <row r="7" spans="1:3">
      <c r="A7">
        <v>36930</v>
      </c>
      <c r="B7" t="s">
        <v>73</v>
      </c>
      <c r="C7" t="s">
        <v>93</v>
      </c>
    </row>
    <row r="8" spans="1:3">
      <c r="A8">
        <v>39030</v>
      </c>
      <c r="B8" t="s">
        <v>74</v>
      </c>
      <c r="C8" t="s">
        <v>93</v>
      </c>
    </row>
    <row r="9" spans="1:3">
      <c r="A9">
        <v>42700</v>
      </c>
      <c r="B9" t="s">
        <v>75</v>
      </c>
      <c r="C9" t="s">
        <v>93</v>
      </c>
    </row>
    <row r="10" spans="1:3">
      <c r="A10">
        <v>67310</v>
      </c>
      <c r="B10" t="s">
        <v>76</v>
      </c>
      <c r="C10" t="s">
        <v>93</v>
      </c>
    </row>
    <row r="11" spans="1:3">
      <c r="A11">
        <v>85620</v>
      </c>
      <c r="B11" t="s">
        <v>77</v>
      </c>
      <c r="C11" t="s">
        <v>93</v>
      </c>
    </row>
    <row r="12" spans="1:3">
      <c r="A12">
        <v>94360</v>
      </c>
      <c r="B12" t="s">
        <v>78</v>
      </c>
      <c r="C12" t="s">
        <v>93</v>
      </c>
    </row>
    <row r="13" spans="1:3">
      <c r="A13">
        <v>204270</v>
      </c>
      <c r="B13" t="s">
        <v>79</v>
      </c>
      <c r="C13" t="s">
        <v>93</v>
      </c>
    </row>
    <row r="14" spans="1:3">
      <c r="A14">
        <v>267260</v>
      </c>
      <c r="B14" t="s">
        <v>80</v>
      </c>
      <c r="C14" t="s">
        <v>93</v>
      </c>
    </row>
    <row r="15" spans="1:3">
      <c r="A15">
        <v>352480</v>
      </c>
      <c r="B15" t="s">
        <v>81</v>
      </c>
      <c r="C15" t="s">
        <v>93</v>
      </c>
    </row>
    <row r="16" spans="1:3">
      <c r="A16">
        <v>403870</v>
      </c>
      <c r="B16" t="s">
        <v>63</v>
      </c>
      <c r="C16" t="s">
        <v>93</v>
      </c>
    </row>
    <row r="17" spans="1:3">
      <c r="A17">
        <v>210</v>
      </c>
      <c r="B17" t="s">
        <v>82</v>
      </c>
      <c r="C17" t="s">
        <v>94</v>
      </c>
    </row>
    <row r="18" spans="1:3">
      <c r="A18">
        <v>660</v>
      </c>
      <c r="B18" t="s">
        <v>68</v>
      </c>
      <c r="C18" t="s">
        <v>94</v>
      </c>
    </row>
    <row r="19" spans="1:3">
      <c r="A19">
        <v>3090</v>
      </c>
      <c r="B19" t="s">
        <v>83</v>
      </c>
      <c r="C19" t="s">
        <v>94</v>
      </c>
    </row>
    <row r="20" spans="1:3">
      <c r="A20">
        <v>21240</v>
      </c>
      <c r="B20" t="s">
        <v>84</v>
      </c>
      <c r="C20" t="s">
        <v>94</v>
      </c>
    </row>
    <row r="21" spans="1:3">
      <c r="A21">
        <v>145020</v>
      </c>
      <c r="B21" t="s">
        <v>85</v>
      </c>
      <c r="C21" t="s">
        <v>94</v>
      </c>
    </row>
    <row r="22" spans="1:3">
      <c r="A22">
        <v>178320</v>
      </c>
      <c r="B22" t="s">
        <v>86</v>
      </c>
      <c r="C22" t="s">
        <v>94</v>
      </c>
    </row>
    <row r="23" spans="1:3">
      <c r="A23">
        <v>294870</v>
      </c>
      <c r="B23" t="s">
        <v>87</v>
      </c>
      <c r="C23" t="s">
        <v>94</v>
      </c>
    </row>
    <row r="24" spans="1:3">
      <c r="A24">
        <v>375500</v>
      </c>
      <c r="B24" t="s">
        <v>88</v>
      </c>
      <c r="C24" t="s">
        <v>94</v>
      </c>
    </row>
    <row r="25" spans="1:3">
      <c r="A25">
        <v>3090</v>
      </c>
      <c r="B25" t="s">
        <v>83</v>
      </c>
      <c r="C25" t="s">
        <v>95</v>
      </c>
    </row>
    <row r="26" spans="1:3">
      <c r="A26">
        <v>3530</v>
      </c>
      <c r="B26" t="s">
        <v>89</v>
      </c>
      <c r="C26" t="s">
        <v>95</v>
      </c>
    </row>
    <row r="27" spans="1:3">
      <c r="A27">
        <v>28300</v>
      </c>
      <c r="B27" t="s">
        <v>90</v>
      </c>
      <c r="C27" t="s">
        <v>95</v>
      </c>
    </row>
    <row r="28" spans="1:3">
      <c r="A28">
        <v>67160</v>
      </c>
      <c r="B28" t="s">
        <v>59</v>
      </c>
      <c r="C28" t="s">
        <v>95</v>
      </c>
    </row>
    <row r="29" spans="1:3">
      <c r="A29">
        <v>80220</v>
      </c>
      <c r="B29" t="s">
        <v>91</v>
      </c>
      <c r="C29" t="s">
        <v>95</v>
      </c>
    </row>
    <row r="30" spans="1:3">
      <c r="A30">
        <v>348370</v>
      </c>
      <c r="B30" t="s">
        <v>92</v>
      </c>
      <c r="C30" t="s">
        <v>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045C-BF3F-FF4D-B6C7-B5C6A9559CA5}">
  <dimension ref="A1:C30"/>
  <sheetViews>
    <sheetView workbookViewId="0">
      <selection activeCell="A18" sqref="A18"/>
    </sheetView>
  </sheetViews>
  <sheetFormatPr baseColWidth="10" defaultRowHeight="17"/>
  <cols>
    <col min="1" max="1" width="9.33203125" bestFit="1" customWidth="1"/>
    <col min="3" max="3" width="9.33203125" bestFit="1" customWidth="1"/>
  </cols>
  <sheetData>
    <row r="1" spans="1:3">
      <c r="A1" t="s">
        <v>96</v>
      </c>
      <c r="C1" t="s">
        <v>96</v>
      </c>
    </row>
    <row r="2" spans="1:3">
      <c r="A2" s="3">
        <v>660</v>
      </c>
      <c r="C2">
        <v>660</v>
      </c>
    </row>
    <row r="3" spans="1:3">
      <c r="A3">
        <v>9420</v>
      </c>
      <c r="C3">
        <v>9420</v>
      </c>
    </row>
    <row r="4" spans="1:3">
      <c r="A4">
        <v>18290</v>
      </c>
      <c r="C4">
        <v>18290</v>
      </c>
    </row>
    <row r="5" spans="1:3">
      <c r="A5">
        <v>22100</v>
      </c>
      <c r="C5">
        <v>22100</v>
      </c>
    </row>
    <row r="6" spans="1:3">
      <c r="A6">
        <v>31980</v>
      </c>
      <c r="C6">
        <v>31980</v>
      </c>
    </row>
    <row r="7" spans="1:3">
      <c r="A7">
        <v>36930</v>
      </c>
      <c r="C7">
        <v>36930</v>
      </c>
    </row>
    <row r="8" spans="1:3">
      <c r="A8">
        <v>39030</v>
      </c>
      <c r="C8">
        <v>39030</v>
      </c>
    </row>
    <row r="9" spans="1:3">
      <c r="A9">
        <v>42700</v>
      </c>
      <c r="C9">
        <v>42700</v>
      </c>
    </row>
    <row r="10" spans="1:3">
      <c r="A10">
        <v>67310</v>
      </c>
      <c r="C10">
        <v>67310</v>
      </c>
    </row>
    <row r="11" spans="1:3">
      <c r="A11">
        <v>85620</v>
      </c>
      <c r="C11">
        <v>85620</v>
      </c>
    </row>
    <row r="12" spans="1:3">
      <c r="A12">
        <v>94360</v>
      </c>
      <c r="C12">
        <v>94360</v>
      </c>
    </row>
    <row r="13" spans="1:3">
      <c r="A13">
        <v>204270</v>
      </c>
      <c r="C13">
        <v>204270</v>
      </c>
    </row>
    <row r="14" spans="1:3">
      <c r="A14">
        <v>267260</v>
      </c>
      <c r="C14">
        <v>267260</v>
      </c>
    </row>
    <row r="15" spans="1:3">
      <c r="A15">
        <v>352480</v>
      </c>
      <c r="C15">
        <v>352480</v>
      </c>
    </row>
    <row r="16" spans="1:3">
      <c r="A16">
        <v>403870</v>
      </c>
      <c r="C16">
        <v>403870</v>
      </c>
    </row>
    <row r="17" spans="1:3">
      <c r="A17">
        <v>210</v>
      </c>
      <c r="C17">
        <v>210</v>
      </c>
    </row>
    <row r="18" spans="1:3">
      <c r="A18" s="3">
        <v>3090</v>
      </c>
      <c r="C18">
        <v>660</v>
      </c>
    </row>
    <row r="19" spans="1:3">
      <c r="A19">
        <v>21240</v>
      </c>
      <c r="C19">
        <v>3090</v>
      </c>
    </row>
    <row r="20" spans="1:3">
      <c r="A20">
        <v>145020</v>
      </c>
      <c r="C20">
        <v>21240</v>
      </c>
    </row>
    <row r="21" spans="1:3">
      <c r="A21">
        <v>178320</v>
      </c>
      <c r="C21">
        <v>145020</v>
      </c>
    </row>
    <row r="22" spans="1:3">
      <c r="A22">
        <v>294870</v>
      </c>
      <c r="C22">
        <v>178320</v>
      </c>
    </row>
    <row r="23" spans="1:3">
      <c r="A23">
        <v>375500</v>
      </c>
      <c r="C23">
        <v>294870</v>
      </c>
    </row>
    <row r="24" spans="1:3">
      <c r="A24">
        <v>3530</v>
      </c>
      <c r="C24">
        <v>375500</v>
      </c>
    </row>
    <row r="25" spans="1:3">
      <c r="A25">
        <v>28300</v>
      </c>
      <c r="C25">
        <v>3090</v>
      </c>
    </row>
    <row r="26" spans="1:3">
      <c r="A26">
        <v>67160</v>
      </c>
      <c r="C26">
        <v>3530</v>
      </c>
    </row>
    <row r="27" spans="1:3">
      <c r="A27">
        <v>80220</v>
      </c>
      <c r="C27">
        <v>28300</v>
      </c>
    </row>
    <row r="28" spans="1:3">
      <c r="A28">
        <v>348370</v>
      </c>
      <c r="C28">
        <v>67160</v>
      </c>
    </row>
    <row r="29" spans="1:3">
      <c r="C29">
        <v>80220</v>
      </c>
    </row>
    <row r="30" spans="1:3">
      <c r="C30">
        <v>348370</v>
      </c>
    </row>
  </sheetData>
  <dataConsolidate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직전4분기</vt:lpstr>
      <vt:lpstr>최근년도 공시</vt:lpstr>
      <vt:lpstr>k-ratio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 종현</cp:lastModifiedBy>
  <dcterms:created xsi:type="dcterms:W3CDTF">2024-02-14T03:59:05Z</dcterms:created>
  <dcterms:modified xsi:type="dcterms:W3CDTF">2024-02-29T08:15:36Z</dcterms:modified>
</cp:coreProperties>
</file>